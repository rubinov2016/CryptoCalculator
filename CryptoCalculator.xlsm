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otonac-my.sharepoint.com/personal/lr3g20_soton_ac_uk/Documents/2024/sem 1/business analytics programming (vba)/assignment/vba 80percent assignment/"/>
    </mc:Choice>
  </mc:AlternateContent>
  <xr:revisionPtr revIDLastSave="11593" documentId="8_{6E94DB32-E20A-41EF-B812-244A3101CF2B}" xr6:coauthVersionLast="47" xr6:coauthVersionMax="47" xr10:uidLastSave="{EB823DE0-74BD-493C-80C9-850105E86E3C}"/>
  <bookViews>
    <workbookView xWindow="-108" yWindow="-108" windowWidth="23256" windowHeight="12456" activeTab="1" xr2:uid="{00000000-000D-0000-FFFF-FFFF00000000}"/>
  </bookViews>
  <sheets>
    <sheet name="Portfolio" sheetId="1" r:id="rId1"/>
    <sheet name="My Deals" sheetId="3" r:id="rId2"/>
  </sheets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<sst xmlns="http://schemas.openxmlformats.org/spreadsheetml/2006/main" count="81" uniqueCount="29">
  <si>
    <t>Crypto</t>
  </si>
  <si>
    <t>Source</t>
  </si>
  <si>
    <t>Datetime</t>
  </si>
  <si>
    <t>Coin</t>
  </si>
  <si>
    <t>Buy/Sell</t>
  </si>
  <si>
    <t>Buy</t>
  </si>
  <si>
    <t>Sell</t>
  </si>
  <si>
    <t>https://www.coingecko.com/</t>
  </si>
  <si>
    <t>bitcoin</t>
  </si>
  <si>
    <t>tether</t>
  </si>
  <si>
    <t>xrp</t>
  </si>
  <si>
    <t>bnb</t>
  </si>
  <si>
    <t>ethereum</t>
  </si>
  <si>
    <t>Deal Date</t>
  </si>
  <si>
    <t>Deal Time</t>
  </si>
  <si>
    <t>Qty before deal</t>
  </si>
  <si>
    <t>Qty after deal</t>
  </si>
  <si>
    <t>Deal Price, $</t>
  </si>
  <si>
    <t>Deal Amount, $</t>
  </si>
  <si>
    <t>Deal Qty, #</t>
  </si>
  <si>
    <t>Realized gain (sold)</t>
  </si>
  <si>
    <t>Volume Weighted Average Price after deal</t>
  </si>
  <si>
    <t>Volume Weighted Average Price before deal</t>
  </si>
  <si>
    <t>Volume Weighted Average Price, $</t>
  </si>
  <si>
    <t>Unrealized Gain (Loss) %%</t>
  </si>
  <si>
    <t>Market Price, $</t>
  </si>
  <si>
    <t>Market value of portfolio</t>
  </si>
  <si>
    <t>Initial cost (VWAP) of portfolio</t>
  </si>
  <si>
    <t>Stock held,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</si>
</sst>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F400]h:mm:ss\ AM/PM"/>
    <numFmt numFmtId="165" formatCode="0.0%"/>
    <numFmt numFmtId="166" formatCode="0.0000"/>
    <numFmt numFmtId="167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14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3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22" fontId="0" fillId="0" borderId="0" xfId="0" applyNumberFormat="1"/>
    <xf numFmtId="164" fontId="0" fillId="0" borderId="0" xfId="0" applyNumberFormat="1"/>
    <xf numFmtId="43" fontId="0" fillId="0" borderId="0" xfId="1" applyFont="1"/>
    <xf numFmtId="0" fontId="0" fillId="2" borderId="0" xfId="0" applyFill="1"/>
    <xf numFmtId="14" fontId="0" fillId="2" borderId="0" xfId="0" applyNumberFormat="1" applyFill="1"/>
    <xf numFmtId="164" fontId="0" fillId="2" borderId="0" xfId="0" applyNumberFormat="1" applyFill="1"/>
    <xf numFmtId="43" fontId="0" fillId="2" borderId="0" xfId="1" applyFont="1" applyFill="1"/>
    <xf numFmtId="165" fontId="1" fillId="0" borderId="0" xfId="0" applyNumberFormat="1" applyFont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2" fillId="9" borderId="0" xfId="0" applyFont="1" applyFill="1" applyAlignment="1">
      <alignment vertical="center" wrapText="1"/>
    </xf>
    <xf numFmtId="166" fontId="1" fillId="0" borderId="0" xfId="0" applyNumberFormat="1" applyFont="1" applyAlignment="1">
      <alignment vertical="center" wrapText="1"/>
    </xf>
    <xf numFmtId="166" fontId="0" fillId="0" borderId="0" xfId="0" applyNumberFormat="1" applyAlignment="1">
      <alignment vertical="center" wrapText="1"/>
    </xf>
    <xf numFmtId="167" fontId="1" fillId="0" borderId="0" xfId="1" applyNumberFormat="1" applyFont="1" applyAlignment="1">
      <alignment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7C80"/>
      <color rgb="FF00FF99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 Allocation</a:t>
            </a:r>
          </a:p>
        </c:rich>
      </c:tx>
      <c:layout>
        <c:manualLayout>
          <c:xMode val="edge"/>
          <c:yMode val="edge"/>
          <c:x val="0.53643740157480313"/>
          <c:y val="6.2893081761006289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3"/>
              <c:layout>
                <c:manualLayout>
                  <c:x val="-0.1506639724234338"/>
                  <c:y val="-2.4896391001377304E-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80-49DF-A310-52964B21C3B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Portfolio!$A$2:$A$9</c:f>
              <c:strCache>
                <c:ptCount val="5"/>
                <c:pt idx="0">
                  <c:v>bitcoin</c:v>
                </c:pt>
                <c:pt idx="1">
                  <c:v>ethereum</c:v>
                </c:pt>
                <c:pt idx="2">
                  <c:v>tether</c:v>
                </c:pt>
                <c:pt idx="3">
                  <c:v>xrp</c:v>
                </c:pt>
                <c:pt idx="4">
                  <c:v>bnb</c:v>
                </c:pt>
              </c:strCache>
            </c:strRef>
          </c:cat>
          <c:val>
            <c:numRef>
              <c:f>Portfolio!$F$2:$F$9</c:f>
              <c:numCache>
                <c:formatCode>_-[$$-409]* #,##0.00_ ;_-[$$-409]* \-#,##0.00\ ;_-[$$-409]* "-"??_ ;_-@_ </c:formatCode>
                <c:ptCount val="8"/>
                <c:pt idx="0">
                  <c:v>277524.80000000005</c:v>
                </c:pt>
                <c:pt idx="1">
                  <c:v>29682.745999999999</c:v>
                </c:pt>
                <c:pt idx="2">
                  <c:v>99.977599999999995</c:v>
                </c:pt>
                <c:pt idx="3">
                  <c:v>0.317</c:v>
                </c:pt>
                <c:pt idx="4">
                  <c:v>71.019000000000005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5-43E6-9B6A-E123C907A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487680</xdr:colOff>
          <xdr:row>9</xdr:row>
          <xdr:rowOff>167640</xdr:rowOff>
        </xdr:from>
        <xdr:to>
          <xdr:col>3</xdr:col>
          <xdr:colOff>647700</xdr:colOff>
          <xdr:row>14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134620</xdr:colOff>
      <xdr:row>6</xdr:row>
      <xdr:rowOff>93980</xdr:rowOff>
    </xdr:from>
    <xdr:to>
      <xdr:col>9</xdr:col>
      <xdr:colOff>586740</xdr:colOff>
      <xdr:row>25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0</xdr:row>
          <xdr:rowOff>53340</xdr:rowOff>
        </xdr:from>
        <xdr:to>
          <xdr:col>9</xdr:col>
          <xdr:colOff>1264920</xdr:colOff>
          <xdr:row>0</xdr:row>
          <xdr:rowOff>548640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gain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0</xdr:row>
          <xdr:rowOff>45720</xdr:rowOff>
        </xdr:from>
        <xdr:to>
          <xdr:col>5</xdr:col>
          <xdr:colOff>922020</xdr:colOff>
          <xdr:row>0</xdr:row>
          <xdr:rowOff>556260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Deal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4"/>
  <sheetViews>
    <sheetView zoomScale="106" workbookViewId="0">
      <selection activeCell="F9" sqref="F9"/>
    </sheetView>
  </sheetViews>
  <sheetFormatPr defaultRowHeight="14.4" x14ac:dyDescent="0.3"/>
  <cols>
    <col min="1" max="1" width="16.109375" customWidth="1"/>
    <col min="2" max="2" width="11.44140625" customWidth="1"/>
    <col min="3" max="3" width="12" customWidth="1"/>
    <col min="4" max="4" width="11.21875" bestFit="1" customWidth="1"/>
    <col min="5" max="5" width="14" bestFit="1" customWidth="1"/>
    <col min="6" max="6" width="15.33203125" customWidth="1"/>
    <col min="7" max="7" width="16.44140625" customWidth="1"/>
    <col min="8" max="8" width="20" customWidth="1"/>
    <col min="9" max="9" width="27.5546875" customWidth="1"/>
  </cols>
  <sheetData>
    <row r="1" spans="1:16" ht="57.6" x14ac:dyDescent="0.3">
      <c r="A1" s="16" t="s">
        <v>0</v>
      </c>
      <c r="B1" s="16" t="s">
        <v>28</v>
      </c>
      <c r="C1" s="16" t="s">
        <v>23</v>
      </c>
      <c r="D1" s="16" t="s">
        <v>25</v>
      </c>
      <c r="E1" s="16" t="s">
        <v>27</v>
      </c>
      <c r="F1" s="16" t="s">
        <v>26</v>
      </c>
      <c r="G1" s="16" t="s">
        <v>24</v>
      </c>
      <c r="H1" s="16" t="s">
        <v>2</v>
      </c>
      <c r="I1" s="16" t="s">
        <v>1</v>
      </c>
      <c r="J1" s="1"/>
      <c r="K1" s="1"/>
      <c r="L1" s="1"/>
      <c r="P1" s="1"/>
    </row>
    <row r="2" spans="1:16" x14ac:dyDescent="0.3">
      <c r="A2" s="17" t="s">
        <v>8</v>
      </c>
      <c r="B2" s="23">
        <v>2.8000000000000007</v>
      </c>
      <c r="C2" s="25">
        <v>95595.570498944449</v>
      </c>
      <c r="D2" s="25">
        <v>99116</v>
      </c>
      <c r="E2" s="25">
        <v>267667.59739704453</v>
      </c>
      <c r="F2" s="25">
        <v>277524.80000000005</v>
      </c>
      <c r="G2" s="15">
        <v>3.6826282668551258E-2</v>
      </c>
      <c r="H2" s="8">
        <v>45673.486967592595</v>
      </c>
      <c r="I2" t="s">
        <v>7</v>
      </c>
    </row>
    <row r="3" spans="1:16" x14ac:dyDescent="0.3">
      <c r="A3" s="18" t="s">
        <v>12</v>
      </c>
      <c r="B3" s="23">
        <v>8.9</v>
      </c>
      <c r="C3" s="25">
        <v>3300</v>
      </c>
      <c r="D3" s="25">
        <v>3335.14</v>
      </c>
      <c r="E3" s="25">
        <v>29370</v>
      </c>
      <c r="F3" s="25">
        <v>29682.745999999999</v>
      </c>
      <c r="G3" s="15">
        <v>1.0648484848484907E-2</v>
      </c>
      <c r="H3" s="8">
        <v>45673.486967592595</v>
      </c>
      <c r="I3" t="s">
        <v>7</v>
      </c>
    </row>
    <row r="4" spans="1:16" x14ac:dyDescent="0.3">
      <c r="A4" s="19" t="s">
        <v>9</v>
      </c>
      <c r="B4" s="24">
        <v>100</v>
      </c>
      <c r="C4" s="25">
        <v>1</v>
      </c>
      <c r="D4" s="25">
        <v>0.999776</v>
      </c>
      <c r="E4" s="25">
        <v>100</v>
      </c>
      <c r="F4" s="25">
        <v>99.977599999999995</v>
      </c>
      <c r="G4" s="15">
        <v>-2.2400000000000198E-4</v>
      </c>
      <c r="H4" s="8">
        <v>45673.486967592595</v>
      </c>
      <c r="I4" t="s">
        <v>7</v>
      </c>
    </row>
    <row r="5" spans="1:16" x14ac:dyDescent="0.3">
      <c r="A5" s="20" t="s">
        <v>10</v>
      </c>
      <c r="B5" s="24">
        <v>0.1</v>
      </c>
      <c r="C5" s="25">
        <v>3</v>
      </c>
      <c r="D5" s="25">
        <v>3.17</v>
      </c>
      <c r="E5" s="25">
        <v>0.30000000000000004</v>
      </c>
      <c r="F5" s="25">
        <v>0.317</v>
      </c>
      <c r="G5" s="15">
        <v>5.6666666666666421E-2</v>
      </c>
      <c r="H5" s="8">
        <v>45673.486979166664</v>
      </c>
      <c r="I5" t="s">
        <v>7</v>
      </c>
    </row>
    <row r="6" spans="1:16" x14ac:dyDescent="0.3">
      <c r="A6" s="21" t="s">
        <v>11</v>
      </c>
      <c r="B6" s="24">
        <v>0.1</v>
      </c>
      <c r="C6" s="25">
        <v>700</v>
      </c>
      <c r="D6" s="25">
        <v>710.19</v>
      </c>
      <c r="E6" s="25">
        <v>70</v>
      </c>
      <c r="F6" s="25">
        <v>71.019000000000005</v>
      </c>
      <c r="G6" s="15">
        <v>1.4557142857142935E-2</v>
      </c>
      <c r="H6" s="8">
        <v>45673.486979166664</v>
      </c>
      <c r="I6" t="s">
        <v>7</v>
      </c>
    </row>
    <row r="7" spans="1:16" x14ac:dyDescent="0.3">
      <c r="B7" s="6"/>
      <c r="C7" s="2"/>
      <c r="D7" s="7"/>
      <c r="E7" s="7"/>
      <c r="G7" s="5"/>
      <c r="H7" s="3"/>
    </row>
    <row r="8" spans="1:16" x14ac:dyDescent="0.3">
      <c r="B8" s="6"/>
      <c r="C8" s="2"/>
      <c r="D8" s="6"/>
      <c r="E8" s="6"/>
      <c r="G8" s="5"/>
      <c r="H8" s="3"/>
    </row>
    <row r="9" spans="1:16" x14ac:dyDescent="0.3">
      <c r="B9" s="6"/>
      <c r="C9" s="2"/>
      <c r="D9" s="7"/>
      <c r="E9" s="7"/>
      <c r="G9" s="5"/>
      <c r="H9" s="3"/>
    </row>
    <row r="10" spans="1:16" x14ac:dyDescent="0.3">
      <c r="D10" s="3"/>
      <c r="E10" s="3"/>
    </row>
    <row r="11" spans="1:16" x14ac:dyDescent="0.3">
      <c r="D11" s="3"/>
      <c r="E11" s="3"/>
    </row>
    <row r="12" spans="1:16" x14ac:dyDescent="0.3">
      <c r="D12" s="3"/>
      <c r="E12" s="3"/>
    </row>
    <row r="13" spans="1:16" x14ac:dyDescent="0.3">
      <c r="D13" s="3"/>
      <c r="E13" s="3"/>
    </row>
    <row r="14" spans="1:16" x14ac:dyDescent="0.3">
      <c r="D14" s="3"/>
      <c r="E14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ePortfolio">
                <anchor moveWithCells="1" sizeWithCells="1">
                  <from>
                    <xdr:col>0</xdr:col>
                    <xdr:colOff>487680</xdr:colOff>
                    <xdr:row>9</xdr:row>
                    <xdr:rowOff>167640</xdr:rowOff>
                  </from>
                  <to>
                    <xdr:col>3</xdr:col>
                    <xdr:colOff>647700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E485B-6619-46F0-9936-79E13006C7B3}">
  <sheetPr codeName="Sheet2"/>
  <dimension ref="A1:L27"/>
  <sheetViews>
    <sheetView tabSelected="1" zoomScale="86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4" sqref="F14"/>
    </sheetView>
  </sheetViews>
  <sheetFormatPr defaultRowHeight="14.4" x14ac:dyDescent="0.3"/>
  <cols>
    <col min="1" max="1" width="9" customWidth="1"/>
    <col min="2" max="2" width="7.109375" bestFit="1" customWidth="1"/>
    <col min="3" max="3" width="17.109375" customWidth="1"/>
    <col min="4" max="4" width="13" style="9" customWidth="1"/>
    <col min="5" max="5" width="10.33203125" customWidth="1"/>
    <col min="6" max="6" width="15.44140625" style="10" customWidth="1"/>
    <col min="7" max="7" width="14.6640625" style="10" customWidth="1"/>
    <col min="8" max="8" width="10" customWidth="1"/>
    <col min="9" max="9" width="19.88671875" customWidth="1"/>
    <col min="10" max="10" width="22.77734375" customWidth="1"/>
    <col min="11" max="11" width="18.109375" customWidth="1"/>
    <col min="12" max="12" width="14.109375" customWidth="1"/>
    <col min="13" max="13" width="13.109375" style="11" customWidth="1"/>
    <col min="14" max="14" width="12" style="11" customWidth="1"/>
    <col min="15" max="16384" width="8.88671875" style="11"/>
  </cols>
  <sheetData>
    <row r="1" spans="1:12" ht="52.8" customHeight="1" x14ac:dyDescent="0.3"/>
    <row r="2" spans="1:12" s="4" customFormat="1" ht="44.4" customHeight="1" x14ac:dyDescent="0.3">
      <c r="A2" s="16" t="s">
        <v>4</v>
      </c>
      <c r="B2" s="16" t="s">
        <v>3</v>
      </c>
      <c r="C2" s="16" t="s">
        <v>13</v>
      </c>
      <c r="D2" s="16" t="s">
        <v>14</v>
      </c>
      <c r="E2" s="16" t="s">
        <v>19</v>
      </c>
      <c r="F2" s="16" t="s">
        <v>17</v>
      </c>
      <c r="G2" s="16" t="s">
        <v>18</v>
      </c>
      <c r="H2" s="22" t="s">
        <v>15</v>
      </c>
      <c r="I2" s="22" t="s">
        <v>22</v>
      </c>
      <c r="J2" s="16" t="s">
        <v>16</v>
      </c>
      <c r="K2" s="16" t="s">
        <v>21</v>
      </c>
      <c r="L2" s="16" t="s">
        <v>20</v>
      </c>
    </row>
    <row r="3" spans="1:12" x14ac:dyDescent="0.3">
      <c r="A3" s="11" t="s">
        <v>5</v>
      </c>
      <c r="B3" s="11" t="s">
        <v>8</v>
      </c>
      <c r="C3" s="12">
        <v>45658</v>
      </c>
      <c r="D3" s="13">
        <v>0.37274305555555554</v>
      </c>
      <c r="E3" s="11">
        <v>1</v>
      </c>
      <c r="F3" s="14">
        <v>97300</v>
      </c>
      <c r="G3" s="14">
        <v>97300</v>
      </c>
      <c r="H3" s="11">
        <v>0</v>
      </c>
      <c r="I3" s="11">
        <v>0</v>
      </c>
      <c r="J3" s="11">
        <v>1</v>
      </c>
      <c r="K3" s="11">
        <v>97300</v>
      </c>
      <c r="L3" s="14"/>
    </row>
    <row r="4" spans="1:12" ht="0" hidden="1" x14ac:dyDescent="0">
      <c r="A4" s="11" t="s">
        <v>5</v>
      </c>
      <c r="B4" s="11" t="s">
        <v>8</v>
      </c>
      <c r="C4" s="12">
        <v>45658</v>
      </c>
      <c r="D4" s="13">
        <v>0.37317129629629631</v>
      </c>
      <c r="E4" s="11">
        <v>0.1</v>
      </c>
      <c r="F4" s="14">
        <v>97586.578200000004</v>
      </c>
      <c r="G4" s="14">
        <v>9758.6578200000004</v>
      </c>
      <c r="H4" s="11">
        <v>1</v>
      </c>
      <c r="I4" s="11">
        <v>97300</v>
      </c>
      <c r="J4" s="11">
        <v>1.1000000000000001</v>
      </c>
      <c r="K4" s="11">
        <v>97326.05256363636</v>
      </c>
      <c r="L4" s="11"/>
    </row>
    <row r="5" spans="1:12" x14ac:dyDescent="0.3">
      <c r="A5" s="11" t="s">
        <v>6</v>
      </c>
      <c r="B5" s="11" t="s">
        <v>8</v>
      </c>
      <c r="C5" s="12">
        <v>45658</v>
      </c>
      <c r="D5" s="13">
        <v>0.41614583333333333</v>
      </c>
      <c r="E5" s="11">
        <v>1</v>
      </c>
      <c r="F5" s="14">
        <v>97300</v>
      </c>
      <c r="G5" s="14">
        <v>97300</v>
      </c>
      <c r="H5" s="11">
        <v>1.1000000000000001</v>
      </c>
      <c r="I5" s="11">
        <v>97326.05256363636</v>
      </c>
      <c r="J5" s="11">
        <v>0.10000000000000009</v>
      </c>
      <c r="K5" s="11">
        <v>97326.05256363636</v>
      </c>
      <c r="L5" s="14">
        <v>-26.052563636359992</v>
      </c>
    </row>
    <row r="6" spans="1:12" x14ac:dyDescent="0.3">
      <c r="A6" s="11" t="s">
        <v>5</v>
      </c>
      <c r="B6" s="11" t="s">
        <v>8</v>
      </c>
      <c r="C6" s="12">
        <v>45658</v>
      </c>
      <c r="D6" s="13">
        <v>0.41685185185185186</v>
      </c>
      <c r="E6" s="11">
        <v>1</v>
      </c>
      <c r="F6" s="14">
        <v>100000</v>
      </c>
      <c r="G6" s="14">
        <v>100000</v>
      </c>
      <c r="H6" s="11">
        <v>0.10000000000000009</v>
      </c>
      <c r="I6" s="11">
        <v>97326.05256363636</v>
      </c>
      <c r="J6" s="11">
        <v>1.1000000000000001</v>
      </c>
      <c r="K6" s="11">
        <v>99756.913869421493</v>
      </c>
      <c r="L6" s="14"/>
    </row>
    <row r="7" spans="1:12" x14ac:dyDescent="0.3">
      <c r="A7" s="11" t="s">
        <v>5</v>
      </c>
      <c r="B7" s="11" t="s">
        <v>8</v>
      </c>
      <c r="C7" s="12">
        <v>45659</v>
      </c>
      <c r="D7" s="13">
        <v>0.41706018518518517</v>
      </c>
      <c r="E7" s="11">
        <v>1</v>
      </c>
      <c r="F7" s="14">
        <v>97300</v>
      </c>
      <c r="G7" s="14">
        <v>97300</v>
      </c>
      <c r="H7" s="11">
        <v>1.1000000000000001</v>
      </c>
      <c r="I7" s="11">
        <v>99756.913869421493</v>
      </c>
      <c r="J7" s="11">
        <v>2.1</v>
      </c>
      <c r="K7" s="11">
        <v>98586.954883982689</v>
      </c>
      <c r="L7" s="14"/>
    </row>
    <row r="8" spans="1:12" x14ac:dyDescent="0.3">
      <c r="A8" s="11" t="s">
        <v>5</v>
      </c>
      <c r="B8" s="11" t="s">
        <v>8</v>
      </c>
      <c r="C8" s="12">
        <v>45660</v>
      </c>
      <c r="D8" s="13">
        <v>0.37274305555555554</v>
      </c>
      <c r="E8" s="11">
        <v>1</v>
      </c>
      <c r="F8" s="14">
        <v>97300</v>
      </c>
      <c r="G8" s="14">
        <v>97300</v>
      </c>
      <c r="H8" s="11">
        <v>2.1</v>
      </c>
      <c r="I8" s="11">
        <v>98586.954883982689</v>
      </c>
      <c r="J8" s="11">
        <v>3.1</v>
      </c>
      <c r="K8" s="11">
        <v>98171.808147214077</v>
      </c>
      <c r="L8" s="14"/>
    </row>
    <row r="9" spans="1:12" x14ac:dyDescent="0.3">
      <c r="A9" s="11" t="s">
        <v>6</v>
      </c>
      <c r="B9" s="11" t="s">
        <v>8</v>
      </c>
      <c r="C9" s="12">
        <v>45661</v>
      </c>
      <c r="D9" s="13">
        <v>0.37317129629629631</v>
      </c>
      <c r="E9" s="11">
        <v>2</v>
      </c>
      <c r="F9" s="14">
        <v>97300</v>
      </c>
      <c r="G9" s="14">
        <v>194600</v>
      </c>
      <c r="H9" s="11">
        <v>3.1</v>
      </c>
      <c r="I9" s="11">
        <v>98171.808147214077</v>
      </c>
      <c r="J9" s="11">
        <v>1.1000000000000001</v>
      </c>
      <c r="K9" s="11">
        <v>98171.808147214077</v>
      </c>
      <c r="L9" s="14">
        <v>-1743.6162944281532</v>
      </c>
    </row>
    <row r="10" spans="1:12" x14ac:dyDescent="0.3">
      <c r="A10" s="11" t="s">
        <v>5</v>
      </c>
      <c r="B10" s="11" t="s">
        <v>8</v>
      </c>
      <c r="C10" s="12">
        <v>45662</v>
      </c>
      <c r="D10" s="13">
        <v>0.41614583333333333</v>
      </c>
      <c r="E10" s="11">
        <v>1</v>
      </c>
      <c r="F10" s="14">
        <v>97300</v>
      </c>
      <c r="G10" s="14">
        <v>97300</v>
      </c>
      <c r="H10" s="11">
        <v>1.1000000000000001</v>
      </c>
      <c r="I10" s="11">
        <v>98171.808147214077</v>
      </c>
      <c r="J10" s="11">
        <v>2.1</v>
      </c>
      <c r="K10" s="11">
        <v>97756.661410445464</v>
      </c>
      <c r="L10" s="14"/>
    </row>
    <row r="11" spans="1:12" x14ac:dyDescent="0.3">
      <c r="A11" s="11" t="s">
        <v>6</v>
      </c>
      <c r="B11" s="11" t="s">
        <v>8</v>
      </c>
      <c r="C11" s="12">
        <v>45664</v>
      </c>
      <c r="D11" s="13">
        <v>0.41685185185185186</v>
      </c>
      <c r="E11" s="11">
        <v>1</v>
      </c>
      <c r="F11" s="14">
        <v>97320</v>
      </c>
      <c r="G11" s="14">
        <v>97320</v>
      </c>
      <c r="H11" s="11">
        <v>2.1</v>
      </c>
      <c r="I11" s="11">
        <v>97756.661410445464</v>
      </c>
      <c r="J11" s="11">
        <v>1.1000000000000001</v>
      </c>
      <c r="K11" s="11">
        <v>97756.661410445464</v>
      </c>
      <c r="L11" s="14">
        <v>-436.66141044546384</v>
      </c>
    </row>
    <row r="12" spans="1:12" x14ac:dyDescent="0.3">
      <c r="A12" s="11" t="s">
        <v>6</v>
      </c>
      <c r="B12" s="11" t="s">
        <v>8</v>
      </c>
      <c r="C12" s="12">
        <v>45664</v>
      </c>
      <c r="D12" s="13">
        <v>0.41706018518518517</v>
      </c>
      <c r="E12" s="11">
        <v>1</v>
      </c>
      <c r="F12" s="14">
        <v>100000</v>
      </c>
      <c r="G12" s="14">
        <v>100000</v>
      </c>
      <c r="H12" s="11">
        <v>1.1000000000000001</v>
      </c>
      <c r="I12" s="11">
        <v>97756.661410445464</v>
      </c>
      <c r="J12" s="11">
        <v>0.10000000000000009</v>
      </c>
      <c r="K12" s="11">
        <v>97756.661410445464</v>
      </c>
      <c r="L12" s="14">
        <v>2243.3385895545362</v>
      </c>
    </row>
    <row r="13" spans="1:12" x14ac:dyDescent="0.3">
      <c r="A13" s="11" t="s">
        <v>5</v>
      </c>
      <c r="B13" s="11" t="s">
        <v>8</v>
      </c>
      <c r="C13" s="12">
        <v>45664</v>
      </c>
      <c r="D13" s="13">
        <v>0.86725694444444446</v>
      </c>
      <c r="E13" s="11">
        <v>2</v>
      </c>
      <c r="F13" s="14">
        <v>95000</v>
      </c>
      <c r="G13" s="14">
        <v>190000</v>
      </c>
      <c r="H13" s="11">
        <v>0.10000000000000009</v>
      </c>
      <c r="I13" s="11">
        <v>97756.661410445464</v>
      </c>
      <c r="J13" s="11">
        <v>2.1</v>
      </c>
      <c r="K13" s="11">
        <v>95131.269590973592</v>
      </c>
      <c r="L13" s="14"/>
    </row>
    <row r="14" spans="1:12" x14ac:dyDescent="0.3">
      <c r="A14" s="11" t="s">
        <v>5</v>
      </c>
      <c r="B14" s="11" t="s">
        <v>8</v>
      </c>
      <c r="C14" s="12">
        <v>45664</v>
      </c>
      <c r="D14" s="13">
        <v>0.86828703703703702</v>
      </c>
      <c r="E14" s="11">
        <v>0.1</v>
      </c>
      <c r="F14" s="14">
        <v>97320</v>
      </c>
      <c r="G14" s="14">
        <v>9732</v>
      </c>
      <c r="H14" s="11">
        <v>2.1</v>
      </c>
      <c r="I14" s="11">
        <v>95131.269590973592</v>
      </c>
      <c r="J14" s="11">
        <v>2.2000000000000002</v>
      </c>
      <c r="K14" s="11">
        <v>95230.757336838418</v>
      </c>
      <c r="L14" s="14"/>
    </row>
    <row r="15" spans="1:12" x14ac:dyDescent="0.3">
      <c r="A15" s="11" t="s">
        <v>5</v>
      </c>
      <c r="B15" s="11" t="s">
        <v>12</v>
      </c>
      <c r="C15" s="12">
        <v>45664</v>
      </c>
      <c r="D15" s="13">
        <v>0.88277777777777777</v>
      </c>
      <c r="E15" s="11">
        <v>10</v>
      </c>
      <c r="F15" s="14">
        <v>3300</v>
      </c>
      <c r="G15" s="14">
        <v>33000</v>
      </c>
      <c r="H15" s="11">
        <v>0</v>
      </c>
      <c r="I15" s="11">
        <v>0</v>
      </c>
      <c r="J15" s="11">
        <v>10</v>
      </c>
      <c r="K15" s="11">
        <v>3300</v>
      </c>
      <c r="L15" s="14"/>
    </row>
    <row r="16" spans="1:12" x14ac:dyDescent="0.3">
      <c r="A16" s="11" t="s">
        <v>6</v>
      </c>
      <c r="B16" s="11" t="s">
        <v>12</v>
      </c>
      <c r="C16" s="12">
        <v>45664</v>
      </c>
      <c r="D16" s="13">
        <v>0.88298611111111114</v>
      </c>
      <c r="E16" s="11">
        <v>1</v>
      </c>
      <c r="F16" s="14">
        <v>3000</v>
      </c>
      <c r="G16" s="14">
        <v>3000</v>
      </c>
      <c r="H16" s="11">
        <v>10</v>
      </c>
      <c r="I16" s="11">
        <v>3300</v>
      </c>
      <c r="J16" s="11">
        <v>9</v>
      </c>
      <c r="K16" s="11">
        <v>3300</v>
      </c>
      <c r="L16" s="14">
        <v>-300</v>
      </c>
    </row>
    <row r="17" spans="1:12" x14ac:dyDescent="0.3">
      <c r="A17" s="11" t="s">
        <v>5</v>
      </c>
      <c r="B17" s="11" t="s">
        <v>9</v>
      </c>
      <c r="C17" s="12">
        <v>45665</v>
      </c>
      <c r="D17" s="13">
        <v>0.5180555555555556</v>
      </c>
      <c r="E17" s="11">
        <v>100</v>
      </c>
      <c r="F17" s="14">
        <v>1</v>
      </c>
      <c r="G17" s="14">
        <v>100</v>
      </c>
      <c r="H17" s="11">
        <v>0</v>
      </c>
      <c r="I17" s="11">
        <v>0</v>
      </c>
      <c r="J17" s="11">
        <v>100</v>
      </c>
      <c r="K17" s="11">
        <v>1</v>
      </c>
      <c r="L17" s="11"/>
    </row>
    <row r="18" spans="1:12" x14ac:dyDescent="0.3">
      <c r="A18" s="11" t="s">
        <v>5</v>
      </c>
      <c r="B18" s="11" t="s">
        <v>8</v>
      </c>
      <c r="C18" s="12">
        <v>45669</v>
      </c>
      <c r="D18" s="13">
        <v>0.62578703703703709</v>
      </c>
      <c r="E18" s="11">
        <v>0.1</v>
      </c>
      <c r="F18" s="14">
        <v>97602.042889999997</v>
      </c>
      <c r="G18" s="14">
        <v>9760.2042889999993</v>
      </c>
      <c r="H18" s="11">
        <v>2.2000000000000002</v>
      </c>
      <c r="I18" s="11">
        <v>95230.757336838418</v>
      </c>
      <c r="J18" s="11">
        <v>2.3000000000000003</v>
      </c>
      <c r="K18" s="11">
        <v>95333.856708715</v>
      </c>
      <c r="L18" s="11"/>
    </row>
    <row r="19" spans="1:12" x14ac:dyDescent="0.3">
      <c r="A19" s="11" t="s">
        <v>5</v>
      </c>
      <c r="B19" s="11" t="s">
        <v>12</v>
      </c>
      <c r="C19" s="12">
        <v>45673</v>
      </c>
      <c r="D19" s="13">
        <v>0.37274305555555554</v>
      </c>
      <c r="E19" s="11">
        <v>0.1</v>
      </c>
      <c r="F19" s="14">
        <v>3300</v>
      </c>
      <c r="G19" s="14">
        <v>330</v>
      </c>
      <c r="H19" s="11">
        <v>9</v>
      </c>
      <c r="I19" s="11">
        <v>3300</v>
      </c>
      <c r="J19" s="11">
        <v>9.1</v>
      </c>
      <c r="K19" s="11">
        <v>3300</v>
      </c>
      <c r="L19" s="11"/>
    </row>
    <row r="20" spans="1:12" x14ac:dyDescent="0.3">
      <c r="A20" s="11" t="s">
        <v>6</v>
      </c>
      <c r="B20" s="11" t="s">
        <v>12</v>
      </c>
      <c r="C20" s="12">
        <v>45673</v>
      </c>
      <c r="D20" s="13">
        <v>0.37317129629629631</v>
      </c>
      <c r="E20" s="11">
        <v>0.1</v>
      </c>
      <c r="F20" s="14">
        <v>3300</v>
      </c>
      <c r="G20" s="14">
        <v>330</v>
      </c>
      <c r="H20" s="11">
        <v>9.1</v>
      </c>
      <c r="I20" s="11">
        <v>3300</v>
      </c>
      <c r="J20" s="11">
        <v>9</v>
      </c>
      <c r="K20" s="11">
        <v>3300</v>
      </c>
      <c r="L20" s="11">
        <v>0</v>
      </c>
    </row>
    <row r="21" spans="1:12" x14ac:dyDescent="0.3">
      <c r="A21" s="11" t="s">
        <v>5</v>
      </c>
      <c r="B21" s="11" t="s">
        <v>8</v>
      </c>
      <c r="C21" s="12">
        <v>45673</v>
      </c>
      <c r="D21" s="13">
        <v>0.41614583333333333</v>
      </c>
      <c r="E21" s="11">
        <v>0.1</v>
      </c>
      <c r="F21" s="14">
        <v>97602.042889999997</v>
      </c>
      <c r="G21" s="14">
        <v>9760.2042889999993</v>
      </c>
      <c r="H21" s="11">
        <v>2.3000000000000003</v>
      </c>
      <c r="I21" s="11">
        <v>95333.856708715</v>
      </c>
      <c r="J21" s="11">
        <v>2.4000000000000004</v>
      </c>
      <c r="K21" s="11">
        <v>95428.36446626854</v>
      </c>
      <c r="L21" s="11"/>
    </row>
    <row r="22" spans="1:12" x14ac:dyDescent="0.3">
      <c r="A22" s="11" t="s">
        <v>5</v>
      </c>
      <c r="B22" s="11" t="s">
        <v>8</v>
      </c>
      <c r="C22" s="12">
        <v>45673</v>
      </c>
      <c r="D22" s="13">
        <v>0.41685185185185186</v>
      </c>
      <c r="E22" s="11">
        <v>0.2</v>
      </c>
      <c r="F22" s="14">
        <v>97602.042889999997</v>
      </c>
      <c r="G22" s="14">
        <v>19520.408577999999</v>
      </c>
      <c r="H22" s="11">
        <v>2.4000000000000004</v>
      </c>
      <c r="I22" s="11">
        <v>95428.36446626854</v>
      </c>
      <c r="J22" s="11">
        <v>2.6000000000000005</v>
      </c>
      <c r="K22" s="11">
        <v>95595.570498863264</v>
      </c>
      <c r="L22" s="11"/>
    </row>
    <row r="23" spans="1:12" x14ac:dyDescent="0.3">
      <c r="A23" s="11" t="s">
        <v>6</v>
      </c>
      <c r="B23" s="11" t="s">
        <v>12</v>
      </c>
      <c r="C23" s="12">
        <v>45673</v>
      </c>
      <c r="D23" s="13">
        <v>0.41706018518518517</v>
      </c>
      <c r="E23" s="11">
        <v>0.1</v>
      </c>
      <c r="F23" s="14">
        <v>3300</v>
      </c>
      <c r="G23" s="14">
        <v>330</v>
      </c>
      <c r="H23" s="11">
        <v>9</v>
      </c>
      <c r="I23" s="11">
        <v>3300</v>
      </c>
      <c r="J23" s="11">
        <v>8.9</v>
      </c>
      <c r="K23" s="11">
        <v>3300</v>
      </c>
      <c r="L23" s="11">
        <v>0</v>
      </c>
    </row>
    <row r="24" spans="1:12" x14ac:dyDescent="0.3">
      <c r="A24" s="11" t="s">
        <v>5</v>
      </c>
      <c r="B24" s="11" t="s">
        <v>11</v>
      </c>
      <c r="C24" s="12">
        <v>45673</v>
      </c>
      <c r="D24" s="13">
        <v>0.43833333333333335</v>
      </c>
      <c r="E24" s="11">
        <v>0.1</v>
      </c>
      <c r="F24" s="14">
        <v>700</v>
      </c>
      <c r="G24" s="14">
        <v>70</v>
      </c>
      <c r="H24" s="11">
        <v>0</v>
      </c>
      <c r="I24" s="11">
        <v>0</v>
      </c>
      <c r="J24" s="11">
        <v>0.1</v>
      </c>
      <c r="K24" s="11">
        <v>700</v>
      </c>
      <c r="L24" s="11"/>
    </row>
    <row r="25" spans="1:12" x14ac:dyDescent="0.3">
      <c r="A25" s="11" t="s">
        <v>5</v>
      </c>
      <c r="B25" s="11" t="s">
        <v>10</v>
      </c>
      <c r="C25" s="12">
        <v>45673</v>
      </c>
      <c r="D25" s="13">
        <v>0.4384837962962963</v>
      </c>
      <c r="E25" s="11">
        <v>0.1</v>
      </c>
      <c r="F25" s="14">
        <v>3</v>
      </c>
      <c r="G25" s="14">
        <v>0.30000000000000004</v>
      </c>
      <c r="H25" s="11">
        <v>0</v>
      </c>
      <c r="I25" s="11">
        <v>0</v>
      </c>
      <c r="J25" s="11">
        <v>0.1</v>
      </c>
      <c r="K25" s="11">
        <v>3</v>
      </c>
      <c r="L25" s="11"/>
    </row>
    <row r="26" spans="1:12" x14ac:dyDescent="0.3">
      <c r="A26" s="11" t="s">
        <v>5</v>
      </c>
      <c r="B26" s="11" t="s">
        <v>8</v>
      </c>
      <c r="C26" s="12">
        <v>45673</v>
      </c>
      <c r="D26" s="13">
        <v>0.46002314814814815</v>
      </c>
      <c r="E26" s="11">
        <v>0.1</v>
      </c>
      <c r="F26" s="14">
        <v>95595.570500000002</v>
      </c>
      <c r="G26" s="14">
        <v>9559.5570500000013</v>
      </c>
      <c r="H26" s="11">
        <v>2.6000000000000005</v>
      </c>
      <c r="I26" s="11">
        <v>95595.570498863264</v>
      </c>
      <c r="J26" s="11">
        <v>2.7000000000000006</v>
      </c>
      <c r="K26" s="11">
        <v>95595.570498905363</v>
      </c>
      <c r="L26" s="11"/>
    </row>
    <row r="27" spans="1:12" x14ac:dyDescent="0.3">
      <c r="A27" s="11" t="s">
        <v>5</v>
      </c>
      <c r="B27" s="11" t="s">
        <v>8</v>
      </c>
      <c r="C27" s="12">
        <v>45673</v>
      </c>
      <c r="D27" s="13">
        <v>0.49246527777777777</v>
      </c>
      <c r="E27" s="11">
        <v>0.1</v>
      </c>
      <c r="F27" s="14">
        <v>95595.570500000002</v>
      </c>
      <c r="G27" s="14">
        <v>9559.5570500000013</v>
      </c>
      <c r="H27" s="11">
        <v>2.7000000000000006</v>
      </c>
      <c r="I27" s="11">
        <v>95595.570498905363</v>
      </c>
      <c r="J27" s="11">
        <v>2.8000000000000007</v>
      </c>
      <c r="K27" s="11">
        <v>95595.570498944449</v>
      </c>
      <c r="L27" s="11"/>
    </row>
  </sheetData>
  <sortState xmlns:xlrd2="http://schemas.microsoft.com/office/spreadsheetml/2017/richdata2" ref="A3:R27">
    <sortCondition ref="C2:C27"/>
    <sortCondition ref="D2:D27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CalculateVWAP">
                <anchor moveWithCells="1" sizeWithCells="1">
                  <from>
                    <xdr:col>6</xdr:col>
                    <xdr:colOff>30480</xdr:colOff>
                    <xdr:row>0</xdr:row>
                    <xdr:rowOff>53340</xdr:rowOff>
                  </from>
                  <to>
                    <xdr:col>9</xdr:col>
                    <xdr:colOff>1264920</xdr:colOff>
                    <xdr:row>0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Sheet1.ShowUserForm">
                <anchor moveWithCells="1" sizeWithCells="1">
                  <from>
                    <xdr:col>2</xdr:col>
                    <xdr:colOff>83820</xdr:colOff>
                    <xdr:row>0</xdr:row>
                    <xdr:rowOff>45720</xdr:rowOff>
                  </from>
                  <to>
                    <xdr:col>5</xdr:col>
                    <xdr:colOff>922020</xdr:colOff>
                    <xdr:row>0</xdr:row>
                    <xdr:rowOff>556260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Portfolio</vt:lpstr>
      <vt:lpstr>My Deals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Лев</dc:creator>
  <cp:lastModifiedBy>Lev Rubinov (lr3g20)</cp:lastModifiedBy>
  <dcterms:created xsi:type="dcterms:W3CDTF">2015-06-05T18:17:20Z</dcterms:created>
  <dcterms:modified xsi:type="dcterms:W3CDTF">2025-05-27T01:28:44Z</dcterms:modified>
</cp:coreProperties>
</file>